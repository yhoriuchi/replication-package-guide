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000kyp/Dropbox/03 Research - Projects/Hikotani-Horiuchi-Tago (not shared for IRB reasons)/R2 (Civilian Control and Casualty Aversion)/data/quota_calculation/"/>
    </mc:Choice>
  </mc:AlternateContent>
  <xr:revisionPtr revIDLastSave="0" documentId="13_ncr:1_{A899D6DE-FD06-214F-A3E4-C5F7AEF371EF}" xr6:coauthVersionLast="47" xr6:coauthVersionMax="47" xr10:uidLastSave="{00000000-0000-0000-0000-000000000000}"/>
  <bookViews>
    <workbookView xWindow="-26020" yWindow="1300" windowWidth="24800" windowHeight="26100" xr2:uid="{55D8FDCC-1F16-1F47-A189-49CC941FD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" i="1" l="1"/>
  <c r="G20" i="1"/>
  <c r="F17" i="1"/>
  <c r="F16" i="1"/>
  <c r="F15" i="1"/>
  <c r="F14" i="1"/>
  <c r="H14" i="1" s="1"/>
  <c r="K14" i="1" s="1"/>
  <c r="F13" i="1"/>
  <c r="F12" i="1"/>
  <c r="F11" i="1"/>
  <c r="F10" i="1"/>
  <c r="H10" i="1" s="1"/>
  <c r="F9" i="1"/>
  <c r="H9" i="1" s="1"/>
  <c r="K9" i="1" s="1"/>
  <c r="F8" i="1"/>
  <c r="F7" i="1"/>
  <c r="H7" i="1" s="1"/>
  <c r="K7" i="1" s="1"/>
  <c r="F6" i="1"/>
  <c r="H6" i="1" s="1"/>
  <c r="K6" i="1" s="1"/>
  <c r="F5" i="1"/>
  <c r="H5" i="1" s="1"/>
  <c r="K5" i="1" s="1"/>
  <c r="F4" i="1"/>
  <c r="H4" i="1" s="1"/>
  <c r="K4" i="1" s="1"/>
  <c r="H17" i="1"/>
  <c r="K17" i="1" s="1"/>
  <c r="H16" i="1"/>
  <c r="K16" i="1" s="1"/>
  <c r="F3" i="1"/>
  <c r="H3" i="1" s="1"/>
  <c r="K3" i="1" s="1"/>
  <c r="G22" i="1"/>
  <c r="G21" i="1"/>
  <c r="H15" i="1"/>
  <c r="K15" i="1" s="1"/>
  <c r="H13" i="1"/>
  <c r="K13" i="1" s="1"/>
  <c r="H12" i="1"/>
  <c r="K12" i="1" s="1"/>
  <c r="H11" i="1"/>
  <c r="K11" i="1" s="1"/>
  <c r="H8" i="1"/>
  <c r="K8" i="1" s="1"/>
  <c r="M10" i="1" l="1"/>
  <c r="M17" i="1"/>
  <c r="M15" i="1"/>
  <c r="I17" i="1"/>
  <c r="I15" i="1"/>
  <c r="I10" i="1"/>
  <c r="F20" i="1"/>
  <c r="F22" i="1" l="1"/>
  <c r="F21" i="1"/>
</calcChain>
</file>

<file path=xl/sharedStrings.xml><?xml version="1.0" encoding="utf-8"?>
<sst xmlns="http://schemas.openxmlformats.org/spreadsheetml/2006/main" count="42" uniqueCount="30">
  <si>
    <t>pct</t>
  </si>
  <si>
    <t>Hokkaido</t>
  </si>
  <si>
    <t>Tohoku</t>
  </si>
  <si>
    <t>Kanto</t>
  </si>
  <si>
    <t>Chubu</t>
  </si>
  <si>
    <t>Kinki</t>
  </si>
  <si>
    <t>Chugoku</t>
  </si>
  <si>
    <t>Shikoku</t>
  </si>
  <si>
    <t>n</t>
  </si>
  <si>
    <t>age</t>
  </si>
  <si>
    <t>Male</t>
  </si>
  <si>
    <t>Female</t>
  </si>
  <si>
    <t>sex</t>
  </si>
  <si>
    <t>variable</t>
  </si>
  <si>
    <t>region</t>
  </si>
  <si>
    <t>category</t>
  </si>
  <si>
    <t>18-29</t>
  </si>
  <si>
    <t>30-39</t>
  </si>
  <si>
    <t>40-49</t>
  </si>
  <si>
    <t>50-59</t>
  </si>
  <si>
    <t>60-74</t>
  </si>
  <si>
    <t>Targeted</t>
  </si>
  <si>
    <t>Difference</t>
  </si>
  <si>
    <t>Sum(region)</t>
  </si>
  <si>
    <t>Sum(age)</t>
  </si>
  <si>
    <t>sum(sex)</t>
  </si>
  <si>
    <t>Within Qualtrics</t>
  </si>
  <si>
    <t>Completes</t>
  </si>
  <si>
    <t>Kyushu-Okinawa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</si>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</sst>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Osaka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Fill="1"/>
    <xf numFmtId="9" fontId="2" fillId="0" borderId="0" xfId="1" applyFont="1" applyFill="1"/>
    <xf numFmtId="1" fontId="2" fillId="0" borderId="0" xfId="0" applyNumberFormat="1" applyFont="1" applyFill="1" applyAlignment="1">
      <alignment horizontal="right" indent="1"/>
    </xf>
    <xf numFmtId="0" fontId="2" fillId="0" borderId="2" xfId="0" applyFont="1" applyFill="1" applyBorder="1"/>
    <xf numFmtId="0" fontId="2" fillId="0" borderId="3" xfId="0" applyFont="1" applyFill="1" applyBorder="1"/>
    <xf numFmtId="9" fontId="2" fillId="0" borderId="4" xfId="1" applyFont="1" applyFill="1" applyBorder="1"/>
    <xf numFmtId="9" fontId="2" fillId="0" borderId="0" xfId="1" applyFont="1" applyFill="1" applyBorder="1"/>
    <xf numFmtId="0" fontId="2" fillId="0" borderId="5" xfId="0" applyFont="1" applyFill="1" applyBorder="1"/>
    <xf numFmtId="0" fontId="2" fillId="0" borderId="0" xfId="0" applyFont="1" applyFill="1" applyBorder="1"/>
    <xf numFmtId="9" fontId="2" fillId="0" borderId="6" xfId="1" applyFont="1" applyFill="1" applyBorder="1"/>
    <xf numFmtId="1" fontId="2" fillId="0" borderId="0" xfId="0" applyNumberFormat="1" applyFont="1" applyFill="1"/>
    <xf numFmtId="0" fontId="2" fillId="0" borderId="7" xfId="0" applyFont="1" applyFill="1" applyBorder="1"/>
    <xf numFmtId="0" fontId="2" fillId="0" borderId="1" xfId="0" applyFont="1" applyFill="1" applyBorder="1"/>
    <xf numFmtId="9" fontId="2" fillId="0" borderId="8" xfId="1" applyFont="1" applyFill="1" applyBorder="1"/>
    <xf numFmtId="0" fontId="2" fillId="2" borderId="5" xfId="0" applyFont="1" applyFill="1" applyBorder="1"/>
    <xf numFmtId="0" fontId="2" fillId="2" borderId="0" xfId="0" applyFont="1" applyFill="1" applyBorder="1"/>
    <xf numFmtId="9" fontId="2" fillId="2" borderId="6" xfId="1" applyFont="1" applyFill="1" applyBorder="1"/>
    <xf numFmtId="9" fontId="2" fillId="2" borderId="0" xfId="1" applyFont="1" applyFill="1" applyBorder="1"/>
    <xf numFmtId="1" fontId="2" fillId="2" borderId="0" xfId="0" applyNumberFormat="1" applyFont="1" applyFill="1" applyAlignment="1">
      <alignment horizontal="right" indent="1"/>
    </xf>
    <xf numFmtId="0" fontId="2" fillId="2" borderId="0" xfId="0" applyFont="1" applyFill="1"/>
    <xf numFmtId="1" fontId="2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ECE7-8C01-2B44-A3A5-DBF7D07B7396}">
  <dimension ref="A1:M22"/>
  <sheetViews>
    <sheetView tabSelected="1" zoomScale="150" zoomScaleNormal="150" workbookViewId="0">
      <selection activeCell="F8" sqref="F8"/>
    </sheetView>
  </sheetViews>
  <sheetFormatPr baseColWidth="10" defaultRowHeight="18" x14ac:dyDescent="0.25"/>
  <cols>
    <col min="1" max="1" width="8.83203125" style="1" bestFit="1" customWidth="1"/>
    <col min="2" max="2" width="9.83203125" style="1" bestFit="1" customWidth="1"/>
    <col min="3" max="3" width="7.83203125" style="1" bestFit="1" customWidth="1"/>
    <col min="4" max="4" width="5.6640625" style="2" bestFit="1" customWidth="1"/>
    <col min="5" max="5" width="5.6640625" style="2" customWidth="1"/>
    <col min="6" max="6" width="11.5" style="3" customWidth="1"/>
    <col min="7" max="8" width="11.5" style="1" customWidth="1"/>
    <col min="9" max="16384" width="10.83203125" style="1"/>
  </cols>
  <sheetData>
    <row r="1" spans="1:13" x14ac:dyDescent="0.25">
      <c r="G1" s="1" t="s">
        <v>26</v>
      </c>
    </row>
    <row r="2" spans="1:13" x14ac:dyDescent="0.25">
      <c r="A2" s="4" t="s">
        <v>13</v>
      </c>
      <c r="B2" s="5" t="s">
        <v>15</v>
      </c>
      <c r="C2" s="5" t="s">
        <v>8</v>
      </c>
      <c r="D2" s="6" t="s">
        <v>0</v>
      </c>
      <c r="E2" s="7"/>
      <c r="F2" s="3" t="s">
        <v>21</v>
      </c>
      <c r="G2" s="1" t="s">
        <v>27</v>
      </c>
      <c r="H2" s="1" t="s">
        <v>22</v>
      </c>
      <c r="J2" s="1" t="s">
        <v>29</v>
      </c>
    </row>
    <row r="3" spans="1:13" x14ac:dyDescent="0.25">
      <c r="A3" s="8" t="s">
        <v>14</v>
      </c>
      <c r="B3" s="9" t="s">
        <v>1</v>
      </c>
      <c r="C3" s="9">
        <v>5286</v>
      </c>
      <c r="D3" s="10">
        <v>4.1805398479947485E-2</v>
      </c>
      <c r="E3" s="7"/>
      <c r="F3" s="3">
        <f>D3*2000</f>
        <v>83.610796959894969</v>
      </c>
      <c r="G3" s="1">
        <v>82</v>
      </c>
      <c r="H3" s="11">
        <f t="shared" ref="H3:H17" si="0">F3-G3</f>
        <v>1.6107969598949694</v>
      </c>
      <c r="J3" s="1">
        <v>42</v>
      </c>
      <c r="K3" s="11">
        <f>0.8*H3/(J3/100)</f>
        <v>3.0681846855142276</v>
      </c>
      <c r="L3" s="11"/>
    </row>
    <row r="4" spans="1:13" x14ac:dyDescent="0.25">
      <c r="A4" s="8" t="s">
        <v>14</v>
      </c>
      <c r="B4" s="9" t="s">
        <v>2</v>
      </c>
      <c r="C4" s="9">
        <v>8755</v>
      </c>
      <c r="D4" s="10">
        <v>6.9240685526284568E-2</v>
      </c>
      <c r="E4" s="7"/>
      <c r="F4" s="3">
        <f t="shared" ref="F4:F17" si="1">D4*2000</f>
        <v>138.48137105256913</v>
      </c>
      <c r="G4" s="1">
        <v>114</v>
      </c>
      <c r="H4" s="11">
        <f t="shared" si="0"/>
        <v>24.481371052569131</v>
      </c>
      <c r="J4" s="1">
        <v>41</v>
      </c>
      <c r="K4" s="11">
        <f t="shared" ref="K4:K17" si="2">0.8*H4/(J4/100)</f>
        <v>47.768528883061727</v>
      </c>
      <c r="L4" s="11"/>
    </row>
    <row r="5" spans="1:13" x14ac:dyDescent="0.25">
      <c r="A5" s="15" t="s">
        <v>14</v>
      </c>
      <c r="B5" s="16" t="s">
        <v>3</v>
      </c>
      <c r="C5" s="16">
        <v>43359</v>
      </c>
      <c r="D5" s="17">
        <v>0.34291340762240691</v>
      </c>
      <c r="E5" s="18"/>
      <c r="F5" s="19">
        <f t="shared" si="1"/>
        <v>685.82681524481382</v>
      </c>
      <c r="G5" s="20">
        <v>690</v>
      </c>
      <c r="H5" s="21">
        <f t="shared" si="0"/>
        <v>-4.1731847551861847</v>
      </c>
      <c r="I5" s="20"/>
      <c r="J5" s="20">
        <v>41</v>
      </c>
      <c r="K5" s="21">
        <f t="shared" si="2"/>
        <v>-8.1427995223145082</v>
      </c>
      <c r="L5" s="11"/>
    </row>
    <row r="6" spans="1:13" x14ac:dyDescent="0.25">
      <c r="A6" s="8" t="s">
        <v>14</v>
      </c>
      <c r="B6" s="9" t="s">
        <v>4</v>
      </c>
      <c r="C6" s="9">
        <v>21286</v>
      </c>
      <c r="D6" s="10">
        <v>0.16834462959594443</v>
      </c>
      <c r="E6" s="7"/>
      <c r="F6" s="3">
        <f t="shared" si="1"/>
        <v>336.68925919188888</v>
      </c>
      <c r="G6" s="1">
        <v>319</v>
      </c>
      <c r="H6" s="11">
        <f t="shared" si="0"/>
        <v>17.68925919188888</v>
      </c>
      <c r="J6" s="1">
        <v>39</v>
      </c>
      <c r="K6" s="11">
        <f t="shared" si="2"/>
        <v>36.285659880797702</v>
      </c>
      <c r="L6" s="11"/>
    </row>
    <row r="7" spans="1:13" x14ac:dyDescent="0.25">
      <c r="A7" s="15" t="s">
        <v>14</v>
      </c>
      <c r="B7" s="16" t="s">
        <v>5</v>
      </c>
      <c r="C7" s="16">
        <v>22365</v>
      </c>
      <c r="D7" s="17">
        <v>0.17687811899432945</v>
      </c>
      <c r="E7" s="18"/>
      <c r="F7" s="19">
        <f t="shared" si="1"/>
        <v>353.75623798865888</v>
      </c>
      <c r="G7" s="20">
        <v>359</v>
      </c>
      <c r="H7" s="21">
        <f t="shared" si="0"/>
        <v>-5.2437620113411185</v>
      </c>
      <c r="I7" s="20"/>
      <c r="J7" s="20">
        <v>43</v>
      </c>
      <c r="K7" s="21">
        <f t="shared" si="2"/>
        <v>-9.7558363001695234</v>
      </c>
      <c r="L7" s="11"/>
    </row>
    <row r="8" spans="1:13" x14ac:dyDescent="0.25">
      <c r="A8" s="8" t="s">
        <v>14</v>
      </c>
      <c r="B8" s="9" t="s">
        <v>6</v>
      </c>
      <c r="C8" s="9">
        <v>7325</v>
      </c>
      <c r="D8" s="10">
        <v>5.7931241745292343E-2</v>
      </c>
      <c r="E8" s="7"/>
      <c r="F8" s="3">
        <f t="shared" si="1"/>
        <v>115.86248349058468</v>
      </c>
      <c r="G8" s="1">
        <v>94</v>
      </c>
      <c r="H8" s="11">
        <f t="shared" si="0"/>
        <v>21.86248349058468</v>
      </c>
      <c r="J8" s="1">
        <v>38</v>
      </c>
      <c r="K8" s="11">
        <f t="shared" si="2"/>
        <v>46.026281032809848</v>
      </c>
      <c r="L8" s="11"/>
    </row>
    <row r="9" spans="1:13" x14ac:dyDescent="0.25">
      <c r="A9" s="8" t="s">
        <v>14</v>
      </c>
      <c r="B9" s="9" t="s">
        <v>7</v>
      </c>
      <c r="C9" s="9">
        <v>3756</v>
      </c>
      <c r="D9" s="10">
        <v>2.970508450448028E-2</v>
      </c>
      <c r="E9" s="7"/>
      <c r="F9" s="3">
        <f t="shared" si="1"/>
        <v>59.410169008960558</v>
      </c>
      <c r="G9" s="1">
        <v>33</v>
      </c>
      <c r="H9" s="11">
        <f t="shared" si="0"/>
        <v>26.410169008960558</v>
      </c>
      <c r="J9" s="1">
        <v>39</v>
      </c>
      <c r="K9" s="11">
        <f t="shared" si="2"/>
        <v>54.174705659406278</v>
      </c>
      <c r="L9" s="11"/>
    </row>
    <row r="10" spans="1:13" x14ac:dyDescent="0.25">
      <c r="A10" s="12" t="s">
        <v>14</v>
      </c>
      <c r="B10" s="13" t="s">
        <v>28</v>
      </c>
      <c r="C10" s="13">
        <v>14311</v>
      </c>
      <c r="D10" s="14">
        <v>0.1131814335313145</v>
      </c>
      <c r="E10" s="7"/>
      <c r="F10" s="3">
        <f t="shared" si="1"/>
        <v>226.36286706262902</v>
      </c>
      <c r="G10" s="1">
        <v>137</v>
      </c>
      <c r="H10" s="11">
        <f t="shared" si="0"/>
        <v>89.362867062629022</v>
      </c>
      <c r="I10" s="11">
        <f>SUM(H3:H10)</f>
        <v>171.99999999999994</v>
      </c>
      <c r="J10" s="1">
        <v>34</v>
      </c>
      <c r="K10" s="11">
        <f>0.8*H10/(J10/100)</f>
        <v>210.26556955912713</v>
      </c>
      <c r="L10" s="11"/>
      <c r="M10" s="11">
        <f>SUM(K3:K10)</f>
        <v>379.69029387823286</v>
      </c>
    </row>
    <row r="11" spans="1:13" x14ac:dyDescent="0.25">
      <c r="A11" s="8" t="s">
        <v>9</v>
      </c>
      <c r="B11" s="9" t="s">
        <v>16</v>
      </c>
      <c r="C11" s="9">
        <v>15001</v>
      </c>
      <c r="D11" s="10">
        <v>0.16743121825994753</v>
      </c>
      <c r="E11" s="7"/>
      <c r="F11" s="3">
        <f t="shared" si="1"/>
        <v>334.86243651989508</v>
      </c>
      <c r="G11" s="1">
        <v>315</v>
      </c>
      <c r="H11" s="11">
        <f t="shared" si="0"/>
        <v>19.862436519895084</v>
      </c>
      <c r="J11" s="1">
        <v>33</v>
      </c>
      <c r="K11" s="11">
        <f t="shared" si="2"/>
        <v>48.15136126035172</v>
      </c>
      <c r="L11" s="11"/>
    </row>
    <row r="12" spans="1:13" x14ac:dyDescent="0.25">
      <c r="A12" s="8" t="s">
        <v>9</v>
      </c>
      <c r="B12" s="9" t="s">
        <v>17</v>
      </c>
      <c r="C12" s="9">
        <v>14629</v>
      </c>
      <c r="D12" s="10">
        <v>0.16327920084826161</v>
      </c>
      <c r="E12" s="7"/>
      <c r="F12" s="3">
        <f t="shared" si="1"/>
        <v>326.55840169652322</v>
      </c>
      <c r="G12" s="1">
        <v>321</v>
      </c>
      <c r="H12" s="11">
        <f t="shared" si="0"/>
        <v>5.5584016965232195</v>
      </c>
      <c r="J12" s="1">
        <v>36</v>
      </c>
      <c r="K12" s="11">
        <f t="shared" si="2"/>
        <v>12.352003770051599</v>
      </c>
      <c r="L12" s="11"/>
    </row>
    <row r="13" spans="1:13" x14ac:dyDescent="0.25">
      <c r="A13" s="8" t="s">
        <v>9</v>
      </c>
      <c r="B13" s="9" t="s">
        <v>18</v>
      </c>
      <c r="C13" s="9">
        <v>18760</v>
      </c>
      <c r="D13" s="10">
        <v>0.20938668452480608</v>
      </c>
      <c r="E13" s="7"/>
      <c r="F13" s="3">
        <f t="shared" si="1"/>
        <v>418.77336904961214</v>
      </c>
      <c r="G13" s="1">
        <v>414</v>
      </c>
      <c r="H13" s="11">
        <f t="shared" si="0"/>
        <v>4.7733690496121426</v>
      </c>
      <c r="J13" s="1">
        <v>42</v>
      </c>
      <c r="K13" s="11">
        <f t="shared" si="2"/>
        <v>9.0921315230707478</v>
      </c>
      <c r="L13" s="11"/>
    </row>
    <row r="14" spans="1:13" x14ac:dyDescent="0.25">
      <c r="A14" s="15" t="s">
        <v>9</v>
      </c>
      <c r="B14" s="16" t="s">
        <v>19</v>
      </c>
      <c r="C14" s="16">
        <v>16010</v>
      </c>
      <c r="D14" s="17">
        <v>0.17869300742228919</v>
      </c>
      <c r="E14" s="18"/>
      <c r="F14" s="19">
        <f t="shared" si="1"/>
        <v>357.38601484457837</v>
      </c>
      <c r="G14" s="20">
        <v>363</v>
      </c>
      <c r="H14" s="21">
        <f t="shared" si="0"/>
        <v>-5.6139851554216307</v>
      </c>
      <c r="I14" s="20"/>
      <c r="J14" s="20">
        <v>43</v>
      </c>
      <c r="K14" s="21">
        <f t="shared" si="2"/>
        <v>-10.444623544970478</v>
      </c>
      <c r="L14" s="11"/>
    </row>
    <row r="15" spans="1:13" x14ac:dyDescent="0.25">
      <c r="A15" s="12" t="s">
        <v>9</v>
      </c>
      <c r="B15" s="13" t="s">
        <v>20</v>
      </c>
      <c r="C15" s="13">
        <v>25195</v>
      </c>
      <c r="D15" s="14">
        <v>0.28120988894469556</v>
      </c>
      <c r="E15" s="7"/>
      <c r="F15" s="3">
        <f t="shared" si="1"/>
        <v>562.41977788939107</v>
      </c>
      <c r="G15" s="1">
        <v>415</v>
      </c>
      <c r="H15" s="11">
        <f t="shared" si="0"/>
        <v>147.41977788939107</v>
      </c>
      <c r="I15" s="11">
        <f>SUM(H11:H15)</f>
        <v>171.99999999999989</v>
      </c>
      <c r="J15" s="1">
        <v>46</v>
      </c>
      <c r="K15" s="11">
        <f t="shared" si="2"/>
        <v>256.3822224163323</v>
      </c>
      <c r="L15" s="11"/>
      <c r="M15" s="11">
        <f>SUM(K11:K15)</f>
        <v>315.53309542483589</v>
      </c>
    </row>
    <row r="16" spans="1:13" x14ac:dyDescent="0.25">
      <c r="A16" s="8" t="s">
        <v>12</v>
      </c>
      <c r="B16" s="9" t="s">
        <v>10</v>
      </c>
      <c r="C16" s="9">
        <v>61532</v>
      </c>
      <c r="D16" s="10">
        <v>0.48663824806434519</v>
      </c>
      <c r="E16" s="7"/>
      <c r="F16" s="3">
        <f t="shared" si="1"/>
        <v>973.27649612869038</v>
      </c>
      <c r="G16" s="1">
        <v>951</v>
      </c>
      <c r="H16" s="11">
        <f t="shared" si="0"/>
        <v>22.276496128690383</v>
      </c>
      <c r="J16" s="1">
        <v>43</v>
      </c>
      <c r="K16" s="11">
        <f t="shared" si="2"/>
        <v>41.444643960354199</v>
      </c>
      <c r="L16" s="11"/>
    </row>
    <row r="17" spans="1:13" x14ac:dyDescent="0.25">
      <c r="A17" s="12" t="s">
        <v>12</v>
      </c>
      <c r="B17" s="13" t="s">
        <v>11</v>
      </c>
      <c r="C17" s="13">
        <v>64911</v>
      </c>
      <c r="D17" s="14">
        <v>0.51336175193565481</v>
      </c>
      <c r="E17" s="7"/>
      <c r="F17" s="3">
        <f t="shared" si="1"/>
        <v>1026.7235038713097</v>
      </c>
      <c r="G17" s="1">
        <v>877</v>
      </c>
      <c r="H17" s="11">
        <f t="shared" si="0"/>
        <v>149.72350387130973</v>
      </c>
      <c r="I17" s="11">
        <f>H16+H17</f>
        <v>172.00000000000011</v>
      </c>
      <c r="J17" s="1">
        <v>38</v>
      </c>
      <c r="K17" s="11">
        <f t="shared" si="2"/>
        <v>315.20737657117837</v>
      </c>
      <c r="L17" s="11"/>
      <c r="M17" s="11">
        <f>SUM(K16:K17)</f>
        <v>356.65202053153257</v>
      </c>
    </row>
    <row r="20" spans="1:13" x14ac:dyDescent="0.25">
      <c r="E20" s="3" t="s">
        <v>23</v>
      </c>
      <c r="F20" s="11">
        <f>SUM(F3:F10)</f>
        <v>1999.9999999999998</v>
      </c>
      <c r="G20" s="11">
        <f>SUM(G3:G10)</f>
        <v>1828</v>
      </c>
    </row>
    <row r="21" spans="1:13" x14ac:dyDescent="0.25">
      <c r="E21" s="3" t="s">
        <v>24</v>
      </c>
      <c r="F21" s="11">
        <f>SUM(F11:F15)</f>
        <v>1999.9999999999998</v>
      </c>
      <c r="G21" s="11">
        <f>SUM(G11:G15)</f>
        <v>1828</v>
      </c>
    </row>
    <row r="22" spans="1:13" x14ac:dyDescent="0.25">
      <c r="E22" s="3" t="s">
        <v>25</v>
      </c>
      <c r="F22" s="11">
        <f>F16+F17</f>
        <v>2000</v>
      </c>
      <c r="G22" s="11">
        <f>SUM(G16:G17)</f>
        <v>1828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2020-04-06T12:17:14Z</dcterms:created>
  <dcterms:modified xsi:type="dcterms:W3CDTF">2021-08-31T04:37:23Z</dcterms:modified>
</cp:coreProperties>
</file>